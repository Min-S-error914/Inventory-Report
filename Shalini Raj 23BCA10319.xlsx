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f9f6166e7809e/Desktop/"/>
    </mc:Choice>
  </mc:AlternateContent>
  <xr:revisionPtr revIDLastSave="0" documentId="8_{8A9855C7-F180-4276-8803-F75FE314A1ED}" xr6:coauthVersionLast="47" xr6:coauthVersionMax="47" xr10:uidLastSave="{00000000-0000-0000-0000-000000000000}"/>
  <bookViews>
    <workbookView xWindow="-108" yWindow="-108" windowWidth="23256" windowHeight="12456" xr2:uid="{393FF68E-5EA0-401A-90E0-970ECD2B4751}"/>
  </bookViews>
  <sheets>
    <sheet name="Inventor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30" i="1"/>
  <c r="B31" i="1"/>
  <c r="G8" i="1"/>
  <c r="G7" i="1"/>
  <c r="B33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B34" i="1" l="1"/>
  <c r="B32" i="1"/>
</calcChain>
</file>

<file path=xl/sharedStrings.xml><?xml version="1.0" encoding="utf-8"?>
<sst xmlns="http://schemas.openxmlformats.org/spreadsheetml/2006/main" count="58" uniqueCount="58">
  <si>
    <t>ABC RETAIL MART</t>
  </si>
  <si>
    <t>Email: abc@retail.com | phone :8102756338</t>
  </si>
  <si>
    <t>Date</t>
  </si>
  <si>
    <t>Product Name</t>
  </si>
  <si>
    <t>Stock In</t>
  </si>
  <si>
    <t>Stock Out</t>
  </si>
  <si>
    <t>Unit Price</t>
  </si>
  <si>
    <t>Total Value</t>
  </si>
  <si>
    <t>ITM001</t>
  </si>
  <si>
    <t>Rice Bag</t>
  </si>
  <si>
    <t>ITM002</t>
  </si>
  <si>
    <t>Sugar</t>
  </si>
  <si>
    <t>ITM003</t>
  </si>
  <si>
    <t>Cooking Oil</t>
  </si>
  <si>
    <t>ITM004</t>
  </si>
  <si>
    <t>Soap Pack</t>
  </si>
  <si>
    <t>ITM005</t>
  </si>
  <si>
    <t>Shampoo</t>
  </si>
  <si>
    <t>ITM006</t>
  </si>
  <si>
    <t>Biscuits</t>
  </si>
  <si>
    <t>ITM007</t>
  </si>
  <si>
    <t>Milk Pack</t>
  </si>
  <si>
    <t>ITM008</t>
  </si>
  <si>
    <t>Tea Powder</t>
  </si>
  <si>
    <t>ITM009</t>
  </si>
  <si>
    <t>Coffee</t>
  </si>
  <si>
    <t>ITM010</t>
  </si>
  <si>
    <t>Wheat Flour</t>
  </si>
  <si>
    <t>ITM011</t>
  </si>
  <si>
    <t>Salt</t>
  </si>
  <si>
    <t>ITM012</t>
  </si>
  <si>
    <t>Detergent</t>
  </si>
  <si>
    <t>ITM013</t>
  </si>
  <si>
    <t>Noodles</t>
  </si>
  <si>
    <t>ITM014</t>
  </si>
  <si>
    <t>Juice Pack</t>
  </si>
  <si>
    <t>ITM015</t>
  </si>
  <si>
    <t>Butter</t>
  </si>
  <si>
    <t>ITM016</t>
  </si>
  <si>
    <t>Cheese</t>
  </si>
  <si>
    <t>ITM017</t>
  </si>
  <si>
    <t>Eggs Tray</t>
  </si>
  <si>
    <t>ITM018</t>
  </si>
  <si>
    <t>Bread</t>
  </si>
  <si>
    <t>ITM019</t>
  </si>
  <si>
    <t>Soft Drinks</t>
  </si>
  <si>
    <t>ITM020</t>
  </si>
  <si>
    <t>Chips Packet</t>
  </si>
  <si>
    <t>Iteam Id</t>
  </si>
  <si>
    <t>Inventory Report Februry 2026</t>
  </si>
  <si>
    <t>A</t>
  </si>
  <si>
    <t>B</t>
  </si>
  <si>
    <t>Total Items</t>
  </si>
  <si>
    <t>Total Stock In</t>
  </si>
  <si>
    <t>Total Stock Out</t>
  </si>
  <si>
    <t>Total Inventory Value</t>
  </si>
  <si>
    <t>Highest Value</t>
  </si>
  <si>
    <t>Lowest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</si>
</sst>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4070-6CCB-4742-B1F4-38879B193DC3}">
  <dimension ref="A1:I34"/>
  <sheetViews>
    <sheetView tabSelected="1" zoomScale="88" workbookViewId="0">
      <selection activeCell="F32" sqref="F32"/>
    </sheetView>
  </sheetViews>
  <sheetFormatPr defaultRowHeight="14.4" x14ac:dyDescent="0.3"/>
  <cols>
    <col min="1" max="1" width="13.6640625" bestFit="1" customWidth="1"/>
    <col min="2" max="2" width="24.21875" customWidth="1"/>
    <col min="3" max="3" width="13.21875" customWidth="1"/>
    <col min="7" max="7" width="10.33203125" customWidth="1"/>
  </cols>
  <sheetData>
    <row r="1" spans="1:9" x14ac:dyDescent="0.3">
      <c r="A1" s="5" t="s">
        <v>0</v>
      </c>
      <c r="B1" s="5"/>
      <c r="C1" s="5"/>
      <c r="D1" s="5"/>
      <c r="E1" s="5"/>
      <c r="F1" s="5"/>
      <c r="G1" s="5"/>
    </row>
    <row r="2" spans="1:9" x14ac:dyDescent="0.3">
      <c r="A2" s="5" t="s">
        <v>49</v>
      </c>
      <c r="B2" s="5"/>
      <c r="C2" s="5"/>
      <c r="D2" s="5"/>
      <c r="E2" s="5"/>
      <c r="F2" s="5"/>
      <c r="G2" s="5"/>
    </row>
    <row r="3" spans="1:9" ht="21" x14ac:dyDescent="0.4">
      <c r="A3" s="6" t="s">
        <v>1</v>
      </c>
      <c r="B3" s="6"/>
      <c r="C3" s="6"/>
      <c r="D3" s="6"/>
      <c r="E3" s="6"/>
      <c r="F3" s="6"/>
      <c r="G3" s="6"/>
    </row>
    <row r="4" spans="1:9" x14ac:dyDescent="0.3">
      <c r="A4" s="7"/>
      <c r="B4" s="7"/>
      <c r="C4" s="7"/>
      <c r="D4" s="7"/>
      <c r="E4" s="7"/>
      <c r="F4" s="7"/>
      <c r="G4" s="7"/>
    </row>
    <row r="5" spans="1:9" x14ac:dyDescent="0.3">
      <c r="A5" s="7"/>
      <c r="B5" s="7"/>
      <c r="C5" s="7"/>
      <c r="D5" s="7"/>
      <c r="E5" s="7"/>
      <c r="F5" s="7"/>
      <c r="G5" s="7"/>
    </row>
    <row r="6" spans="1:9" ht="28.8" x14ac:dyDescent="0.3">
      <c r="A6" s="8" t="s">
        <v>48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</row>
    <row r="7" spans="1:9" x14ac:dyDescent="0.3">
      <c r="A7" s="9" t="s">
        <v>8</v>
      </c>
      <c r="B7" s="10">
        <v>45323</v>
      </c>
      <c r="C7" s="9" t="s">
        <v>9</v>
      </c>
      <c r="D7" s="9">
        <v>50</v>
      </c>
      <c r="E7" s="9">
        <v>20</v>
      </c>
      <c r="F7" s="9">
        <v>1200</v>
      </c>
      <c r="G7" s="11">
        <f>(D7-E7)*F7</f>
        <v>36000</v>
      </c>
    </row>
    <row r="8" spans="1:9" x14ac:dyDescent="0.3">
      <c r="A8" s="9" t="s">
        <v>10</v>
      </c>
      <c r="B8" s="10">
        <v>45324</v>
      </c>
      <c r="C8" s="9" t="s">
        <v>11</v>
      </c>
      <c r="D8" s="9">
        <v>40</v>
      </c>
      <c r="E8" s="9">
        <v>10</v>
      </c>
      <c r="F8" s="9">
        <v>45</v>
      </c>
      <c r="G8" s="11">
        <f>(D8-E8)*F8</f>
        <v>1350</v>
      </c>
    </row>
    <row r="9" spans="1:9" x14ac:dyDescent="0.3">
      <c r="A9" s="9" t="s">
        <v>12</v>
      </c>
      <c r="B9" s="10">
        <v>45325</v>
      </c>
      <c r="C9" s="9" t="s">
        <v>13</v>
      </c>
      <c r="D9" s="9">
        <v>30</v>
      </c>
      <c r="E9" s="9">
        <v>5</v>
      </c>
      <c r="F9" s="9">
        <v>150</v>
      </c>
      <c r="G9" s="11">
        <f t="shared" ref="G8:G26" si="0">(D8-E8)*F8</f>
        <v>1350</v>
      </c>
    </row>
    <row r="10" spans="1:9" x14ac:dyDescent="0.3">
      <c r="A10" s="9" t="s">
        <v>14</v>
      </c>
      <c r="B10" s="10">
        <v>45326</v>
      </c>
      <c r="C10" s="9" t="s">
        <v>15</v>
      </c>
      <c r="D10" s="9">
        <v>60</v>
      </c>
      <c r="E10" s="9">
        <v>25</v>
      </c>
      <c r="F10" s="9">
        <v>35</v>
      </c>
      <c r="G10" s="11">
        <f t="shared" si="0"/>
        <v>3750</v>
      </c>
    </row>
    <row r="11" spans="1:9" x14ac:dyDescent="0.3">
      <c r="A11" s="9" t="s">
        <v>16</v>
      </c>
      <c r="B11" s="10">
        <v>45327</v>
      </c>
      <c r="C11" s="9" t="s">
        <v>17</v>
      </c>
      <c r="D11" s="9">
        <v>25</v>
      </c>
      <c r="E11" s="9">
        <v>5</v>
      </c>
      <c r="F11" s="9">
        <v>180</v>
      </c>
      <c r="G11" s="11">
        <f t="shared" si="0"/>
        <v>1225</v>
      </c>
    </row>
    <row r="12" spans="1:9" x14ac:dyDescent="0.3">
      <c r="A12" s="9" t="s">
        <v>18</v>
      </c>
      <c r="B12" s="10">
        <v>45328</v>
      </c>
      <c r="C12" s="9" t="s">
        <v>19</v>
      </c>
      <c r="D12" s="9">
        <v>80</v>
      </c>
      <c r="E12" s="9">
        <v>30</v>
      </c>
      <c r="F12" s="9">
        <v>10</v>
      </c>
      <c r="G12" s="11">
        <f t="shared" si="0"/>
        <v>3600</v>
      </c>
    </row>
    <row r="13" spans="1:9" x14ac:dyDescent="0.3">
      <c r="A13" s="9" t="s">
        <v>20</v>
      </c>
      <c r="B13" s="10">
        <v>45329</v>
      </c>
      <c r="C13" s="9" t="s">
        <v>21</v>
      </c>
      <c r="D13" s="9">
        <v>100</v>
      </c>
      <c r="E13" s="9">
        <v>60</v>
      </c>
      <c r="F13" s="9">
        <v>25</v>
      </c>
      <c r="G13" s="11">
        <f t="shared" si="0"/>
        <v>500</v>
      </c>
      <c r="I13" s="2"/>
    </row>
    <row r="14" spans="1:9" x14ac:dyDescent="0.3">
      <c r="A14" s="9" t="s">
        <v>22</v>
      </c>
      <c r="B14" s="10">
        <v>45330</v>
      </c>
      <c r="C14" s="9" t="s">
        <v>23</v>
      </c>
      <c r="D14" s="9">
        <v>20</v>
      </c>
      <c r="E14" s="9">
        <v>5</v>
      </c>
      <c r="F14" s="9">
        <v>200</v>
      </c>
      <c r="G14" s="11">
        <f t="shared" si="0"/>
        <v>1000</v>
      </c>
    </row>
    <row r="15" spans="1:9" x14ac:dyDescent="0.3">
      <c r="A15" s="9" t="s">
        <v>24</v>
      </c>
      <c r="B15" s="10">
        <v>45331</v>
      </c>
      <c r="C15" s="9" t="s">
        <v>25</v>
      </c>
      <c r="D15" s="9">
        <v>15</v>
      </c>
      <c r="E15" s="9">
        <v>3</v>
      </c>
      <c r="F15" s="9">
        <v>350</v>
      </c>
      <c r="G15" s="11">
        <f t="shared" si="0"/>
        <v>3000</v>
      </c>
    </row>
    <row r="16" spans="1:9" x14ac:dyDescent="0.3">
      <c r="A16" s="9" t="s">
        <v>26</v>
      </c>
      <c r="B16" s="10">
        <v>45332</v>
      </c>
      <c r="C16" s="9" t="s">
        <v>27</v>
      </c>
      <c r="D16" s="9">
        <v>45</v>
      </c>
      <c r="E16" s="9">
        <v>15</v>
      </c>
      <c r="F16" s="9">
        <v>50</v>
      </c>
      <c r="G16" s="11">
        <f t="shared" si="0"/>
        <v>4200</v>
      </c>
    </row>
    <row r="17" spans="1:7" x14ac:dyDescent="0.3">
      <c r="A17" s="9" t="s">
        <v>28</v>
      </c>
      <c r="B17" s="10">
        <v>45333</v>
      </c>
      <c r="C17" s="9" t="s">
        <v>29</v>
      </c>
      <c r="D17" s="9">
        <v>70</v>
      </c>
      <c r="E17" s="9">
        <v>20</v>
      </c>
      <c r="F17" s="9">
        <v>20</v>
      </c>
      <c r="G17" s="11">
        <f t="shared" si="0"/>
        <v>1500</v>
      </c>
    </row>
    <row r="18" spans="1:7" x14ac:dyDescent="0.3">
      <c r="A18" s="9" t="s">
        <v>30</v>
      </c>
      <c r="B18" s="10">
        <v>45334</v>
      </c>
      <c r="C18" s="9" t="s">
        <v>31</v>
      </c>
      <c r="D18" s="9">
        <v>35</v>
      </c>
      <c r="E18" s="9">
        <v>10</v>
      </c>
      <c r="F18" s="9">
        <v>90</v>
      </c>
      <c r="G18" s="11">
        <f t="shared" si="0"/>
        <v>1000</v>
      </c>
    </row>
    <row r="19" spans="1:7" x14ac:dyDescent="0.3">
      <c r="A19" s="9" t="s">
        <v>32</v>
      </c>
      <c r="B19" s="10">
        <v>45335</v>
      </c>
      <c r="C19" s="9" t="s">
        <v>33</v>
      </c>
      <c r="D19" s="9">
        <v>90</v>
      </c>
      <c r="E19" s="9">
        <v>40</v>
      </c>
      <c r="F19" s="9">
        <v>15</v>
      </c>
      <c r="G19" s="11">
        <f t="shared" si="0"/>
        <v>2250</v>
      </c>
    </row>
    <row r="20" spans="1:7" x14ac:dyDescent="0.3">
      <c r="A20" s="9" t="s">
        <v>34</v>
      </c>
      <c r="B20" s="10">
        <v>45336</v>
      </c>
      <c r="C20" s="9" t="s">
        <v>35</v>
      </c>
      <c r="D20" s="9">
        <v>55</v>
      </c>
      <c r="E20" s="9">
        <v>25</v>
      </c>
      <c r="F20" s="9">
        <v>30</v>
      </c>
      <c r="G20" s="11">
        <f t="shared" si="0"/>
        <v>750</v>
      </c>
    </row>
    <row r="21" spans="1:7" x14ac:dyDescent="0.3">
      <c r="A21" s="9" t="s">
        <v>36</v>
      </c>
      <c r="B21" s="10">
        <v>45337</v>
      </c>
      <c r="C21" s="9" t="s">
        <v>37</v>
      </c>
      <c r="D21" s="9">
        <v>20</v>
      </c>
      <c r="E21" s="9">
        <v>5</v>
      </c>
      <c r="F21" s="9">
        <v>250</v>
      </c>
      <c r="G21" s="11">
        <f t="shared" si="0"/>
        <v>900</v>
      </c>
    </row>
    <row r="22" spans="1:7" x14ac:dyDescent="0.3">
      <c r="A22" s="9" t="s">
        <v>38</v>
      </c>
      <c r="B22" s="10">
        <v>45338</v>
      </c>
      <c r="C22" s="9" t="s">
        <v>39</v>
      </c>
      <c r="D22" s="9">
        <v>18</v>
      </c>
      <c r="E22" s="9">
        <v>6</v>
      </c>
      <c r="F22" s="9">
        <v>300</v>
      </c>
      <c r="G22" s="11">
        <f t="shared" si="0"/>
        <v>3750</v>
      </c>
    </row>
    <row r="23" spans="1:7" x14ac:dyDescent="0.3">
      <c r="A23" s="9" t="s">
        <v>40</v>
      </c>
      <c r="B23" s="10">
        <v>45339</v>
      </c>
      <c r="C23" s="9" t="s">
        <v>41</v>
      </c>
      <c r="D23" s="9">
        <v>60</v>
      </c>
      <c r="E23" s="9">
        <v>30</v>
      </c>
      <c r="F23" s="9">
        <v>6</v>
      </c>
      <c r="G23" s="11">
        <f t="shared" si="0"/>
        <v>3600</v>
      </c>
    </row>
    <row r="24" spans="1:7" x14ac:dyDescent="0.3">
      <c r="A24" s="9" t="s">
        <v>42</v>
      </c>
      <c r="B24" s="10">
        <v>45340</v>
      </c>
      <c r="C24" s="9" t="s">
        <v>43</v>
      </c>
      <c r="D24" s="9">
        <v>75</v>
      </c>
      <c r="E24" s="9">
        <v>40</v>
      </c>
      <c r="F24" s="9">
        <v>25</v>
      </c>
      <c r="G24" s="11">
        <f t="shared" si="0"/>
        <v>180</v>
      </c>
    </row>
    <row r="25" spans="1:7" x14ac:dyDescent="0.3">
      <c r="A25" s="9" t="s">
        <v>44</v>
      </c>
      <c r="B25" s="10">
        <v>45341</v>
      </c>
      <c r="C25" s="9" t="s">
        <v>45</v>
      </c>
      <c r="D25" s="9">
        <v>85</v>
      </c>
      <c r="E25" s="9">
        <v>50</v>
      </c>
      <c r="F25" s="9">
        <v>40</v>
      </c>
      <c r="G25" s="11">
        <f t="shared" si="0"/>
        <v>875</v>
      </c>
    </row>
    <row r="26" spans="1:7" x14ac:dyDescent="0.3">
      <c r="A26" s="9" t="s">
        <v>46</v>
      </c>
      <c r="B26" s="10">
        <v>45342</v>
      </c>
      <c r="C26" s="9" t="s">
        <v>47</v>
      </c>
      <c r="D26" s="9">
        <v>100</v>
      </c>
      <c r="E26" s="9">
        <v>60</v>
      </c>
      <c r="F26" s="9">
        <v>20</v>
      </c>
      <c r="G26" s="11">
        <f t="shared" si="0"/>
        <v>1400</v>
      </c>
    </row>
    <row r="28" spans="1:7" ht="15.6" x14ac:dyDescent="0.3">
      <c r="A28" s="3" t="s">
        <v>50</v>
      </c>
      <c r="B28" s="3" t="s">
        <v>51</v>
      </c>
      <c r="C28" s="4"/>
    </row>
    <row r="29" spans="1:7" ht="15.6" x14ac:dyDescent="0.3">
      <c r="A29" s="12" t="s">
        <v>52</v>
      </c>
      <c r="B29" s="13">
        <f>COUNTA(A6:A25)</f>
        <v>20</v>
      </c>
      <c r="C29" s="4"/>
    </row>
    <row r="30" spans="1:7" ht="31.2" x14ac:dyDescent="0.3">
      <c r="A30" s="12" t="s">
        <v>53</v>
      </c>
      <c r="B30" s="12">
        <f>SUM(D6:D25)</f>
        <v>973</v>
      </c>
      <c r="C30" s="4"/>
    </row>
    <row r="31" spans="1:7" ht="31.2" x14ac:dyDescent="0.3">
      <c r="A31" s="12" t="s">
        <v>54</v>
      </c>
      <c r="B31" s="12">
        <f>SUM(E6:E25)</f>
        <v>404</v>
      </c>
      <c r="C31" s="4"/>
    </row>
    <row r="32" spans="1:7" ht="46.8" x14ac:dyDescent="0.3">
      <c r="A32" s="12" t="s">
        <v>55</v>
      </c>
      <c r="B32" s="12">
        <f>SUM(G6:G25)</f>
        <v>70780</v>
      </c>
      <c r="C32" s="4"/>
    </row>
    <row r="33" spans="1:5" ht="31.2" x14ac:dyDescent="0.3">
      <c r="A33" s="12" t="s">
        <v>56</v>
      </c>
      <c r="B33" s="12">
        <f>MAX(G6:G25)</f>
        <v>36000</v>
      </c>
      <c r="C33" s="4"/>
      <c r="E33" s="1"/>
    </row>
    <row r="34" spans="1:5" ht="15.6" x14ac:dyDescent="0.3">
      <c r="A34" s="12" t="s">
        <v>57</v>
      </c>
      <c r="B34" s="12">
        <f>MIN(G6:G25)</f>
        <v>180</v>
      </c>
      <c r="C34" s="4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Shaiviya Singh</dc:creator>
  <cp:lastModifiedBy>Shaiviya Singh</cp:lastModifiedBy>
  <dcterms:created xsi:type="dcterms:W3CDTF">2026-04-10T03:36:16Z</dcterms:created>
  <dcterms:modified xsi:type="dcterms:W3CDTF">2026-04-10T06:33:10Z</dcterms:modified>
</cp:coreProperties>
</file>